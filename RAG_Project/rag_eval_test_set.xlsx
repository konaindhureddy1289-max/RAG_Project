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et" sheetId="1" state="visible" r:id="rId3"/>
    <sheet name="Metrics" sheetId="2" state="visible" r:id="rId4"/>
  </sheets>
  <definedNames>
    <definedName function="false" hidden="true" localSheetId="0" name="_xlnm._FilterDatabase" vbProcedure="false">'Test Set'!$A$1:$L$21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<sst xmlns="http://schemas.openxmlformats.org/spreadsheetml/2006/main" count="159" uniqueCount="117">
  <si>
    <t xml:space="preserve">Test ID</t>
  </si>
  <si>
    <t xml:space="preserve">Category</t>
  </si>
  <si>
    <t xml:space="preserve">Question</t>
  </si>
  <si>
    <t xml:space="preserve">Expected answer / behavior</t>
  </si>
  <si>
    <t xml:space="preserve">Expected source</t>
  </si>
  <si>
    <t xml:space="preserve">Expected behavior</t>
  </si>
  <si>
    <t xml:space="preserve">Retrieved sources (top 3)</t>
  </si>
  <si>
    <t xml:space="preserve">Hit? (Y/N)</t>
  </si>
  <si>
    <t xml:space="preserve">Accurate? (Y/N)</t>
  </si>
  <si>
    <t xml:space="preserve">Grounded? (Y/N)</t>
  </si>
  <si>
    <t xml:space="preserve">Latency (s)</t>
  </si>
  <si>
    <t xml:space="preserve">Notes</t>
  </si>
  <si>
    <t xml:space="preserve">Q01</t>
  </si>
  <si>
    <t xml:space="preserve">Directly answered</t>
  </si>
  <si>
    <t xml:space="preserve">How fast does Zepto deliver?</t>
  </si>
  <si>
    <t xml:space="preserve">10 to 30 minutes after order confirmation, depending on zone and order volume</t>
  </si>
  <si>
    <t xml:space="preserve">doc_01</t>
  </si>
  <si>
    <t xml:space="preserve">Answer</t>
  </si>
  <si>
    <t xml:space="preserve">Q02</t>
  </si>
  <si>
    <t xml:space="preserve">Will I pay a delivery fee on a ₹120 order?</t>
  </si>
  <si>
    <t xml:space="preserve">Yes, a flat ₹25 fee; free delivery applies only above ₹149</t>
  </si>
  <si>
    <t xml:space="preserve">Q03</t>
  </si>
  <si>
    <t xml:space="preserve">Can I return an opened personal care item?</t>
  </si>
  <si>
    <t xml:space="preserve">No, unless it has a manufacturing defect</t>
  </si>
  <si>
    <t xml:space="preserve">doc_02</t>
  </si>
  <si>
    <t xml:space="preserve">Q04</t>
  </si>
  <si>
    <t xml:space="preserve">Can I cancel my order after it has been packed?</t>
  </si>
  <si>
    <t xml:space="preserve">No, not through the app, because the rider is dispatched right after packing</t>
  </si>
  <si>
    <t xml:space="preserve">doc_05</t>
  </si>
  <si>
    <t xml:space="preserve">Q05</t>
  </si>
  <si>
    <t xml:space="preserve">What gift card amounts are available?</t>
  </si>
  <si>
    <t xml:space="preserve">₹100, ₹250, ₹500 and ₹1000</t>
  </si>
  <si>
    <t xml:space="preserve">doc_07</t>
  </si>
  <si>
    <t xml:space="preserve">Q06</t>
  </si>
  <si>
    <t xml:space="preserve">Can I call Zepto customer support by phone?</t>
  </si>
  <si>
    <t xml:space="preserve">No, phone support is not offered</t>
  </si>
  <si>
    <t xml:space="preserve">doc_08</t>
  </si>
  <si>
    <t xml:space="preserve">Q07</t>
  </si>
  <si>
    <t xml:space="preserve">What do I get with Zepto Pass+, and what does it cost?</t>
  </si>
  <si>
    <t xml:space="preserve">₹99 a month: free priority delivery, 10% off select categories, early access to limited-time deals</t>
  </si>
  <si>
    <t xml:space="preserve">doc_03</t>
  </si>
  <si>
    <t xml:space="preserve">Q08</t>
  </si>
  <si>
    <t xml:space="preserve">My order shows no movement 25 minutes past the estimated time. What should I do?</t>
  </si>
  <si>
    <t xml:space="preserve">Contact support directly; 20+ minutes without movement suggests a likely delivery issue</t>
  </si>
  <si>
    <t xml:space="preserve">doc_04</t>
  </si>
  <si>
    <t xml:space="preserve">Q09</t>
  </si>
  <si>
    <t xml:space="preserve">Multi-section</t>
  </si>
  <si>
    <t xml:space="preserve">I'm a Zepto Pass member and my order is ₹100. Will I pay a delivery fee?</t>
  </si>
  <si>
    <t xml:space="preserve">No. Pass gives free standard delivery on all orders, overriding the ₹25 fee for orders under ₹149</t>
  </si>
  <si>
    <t xml:space="preserve">doc_01 + doc_03</t>
  </si>
  <si>
    <t xml:space="preserve">Answer using both</t>
  </si>
  <si>
    <t xml:space="preserve">Q10</t>
  </si>
  <si>
    <t xml:space="preserve">My order arrived with spoiled milk. How soon must I report it, and do I have to return it?</t>
  </si>
  <si>
    <t xml:space="preserve">Report within 24 hours via 'Report an Issue'; no return of the original item is required</t>
  </si>
  <si>
    <t xml:space="preserve">doc_06 + doc_02</t>
  </si>
  <si>
    <t xml:space="preserve">Q11</t>
  </si>
  <si>
    <t xml:space="preserve">A packed order was auto-cancelled because no rider was available. Do I pay a fee, and how do I get my money back?</t>
  </si>
  <si>
    <t xml:space="preserve">No cancellation fee, full refund. Refund goes to original payment method in 3 to 5 business days, or instantly to Zepto wallet</t>
  </si>
  <si>
    <t xml:space="preserve">doc_05 + doc_02</t>
  </si>
  <si>
    <t xml:space="preserve">Q12</t>
  </si>
  <si>
    <t xml:space="preserve">It's 2 AM and my order is late. How can I reach support?</t>
  </si>
  <si>
    <t xml:space="preserve">In-app chat, available 24/7 (average response under 2 minutes). Phone is not available</t>
  </si>
  <si>
    <t xml:space="preserve">doc_04 + doc_08</t>
  </si>
  <si>
    <t xml:space="preserve">Q13</t>
  </si>
  <si>
    <t xml:space="preserve">Ambiguous</t>
  </si>
  <si>
    <t xml:space="preserve">Can I get a refund?</t>
  </si>
  <si>
    <t xml:space="preserve">Ask what item or issue, or explain it depends on the reason (damaged, cancelled, returned). No single flat answer</t>
  </si>
  <si>
    <t xml:space="preserve">doc_02 / doc_05 / doc_06</t>
  </si>
  <si>
    <t xml:space="preserve">Clarify</t>
  </si>
  <si>
    <t xml:space="preserve">Q14</t>
  </si>
  <si>
    <t xml:space="preserve">How much is the fee?</t>
  </si>
  <si>
    <t xml:space="preserve">Ask which fee (delivery, priority, membership), or list the possibilities</t>
  </si>
  <si>
    <t xml:space="preserve">doc_01 / doc_03</t>
  </si>
  <si>
    <t xml:space="preserve">Q15</t>
  </si>
  <si>
    <t xml:space="preserve">Can I return it?</t>
  </si>
  <si>
    <t xml:space="preserve">Ask what the item is; rules differ for perishables, packaged items and opened personal care</t>
  </si>
  <si>
    <t xml:space="preserve">Q16</t>
  </si>
  <si>
    <t xml:space="preserve">Not covered</t>
  </si>
  <si>
    <t xml:space="preserve">Can I change my delivery address after placing an order?</t>
  </si>
  <si>
    <t xml:space="preserve">Not in the documents; should say it doesn't have this information</t>
  </si>
  <si>
    <t xml:space="preserve">None</t>
  </si>
  <si>
    <t xml:space="preserve">Decline</t>
  </si>
  <si>
    <t xml:space="preserve">Q17</t>
  </si>
  <si>
    <t xml:space="preserve">Does Zepto accept cash on delivery?</t>
  </si>
  <si>
    <t xml:space="preserve">Not in the documents; should decline</t>
  </si>
  <si>
    <t xml:space="preserve">Q18</t>
  </si>
  <si>
    <t xml:space="preserve">Can I schedule a delivery for tomorrow morning?</t>
  </si>
  <si>
    <t xml:space="preserve">Q19</t>
  </si>
  <si>
    <t xml:space="preserve">How do I tip my delivery rider?</t>
  </si>
  <si>
    <t xml:space="preserve">Q20</t>
  </si>
  <si>
    <t xml:space="preserve">Does Zepto have a loyalty points or cashback program?</t>
  </si>
  <si>
    <t xml:space="preserve">RAG Support Assistant: Evaluation Metrics</t>
  </si>
  <si>
    <t xml:space="preserve">Fill the yellow columns (G to L) on 'Test Set'. Metrics below update automatically.</t>
  </si>
  <si>
    <t xml:space="preserve">Metric</t>
  </si>
  <si>
    <t xml:space="preserve">Result</t>
  </si>
  <si>
    <t xml:space="preserve">Numerator</t>
  </si>
  <si>
    <t xml:space="preserve">Denominator</t>
  </si>
  <si>
    <t xml:space="preserve">How it is calculated</t>
  </si>
  <si>
    <t xml:space="preserve">Sample size (n)</t>
  </si>
  <si>
    <t xml:space="preserve">Number of test questions</t>
  </si>
  <si>
    <t xml:space="preserve">Retrieval hit rate</t>
  </si>
  <si>
    <t xml:space="preserve">Hits on the answerable questions (Q01 to Q15); declines excluded</t>
  </si>
  <si>
    <t xml:space="preserve">Answer accuracy (answerable)</t>
  </si>
  <si>
    <t xml:space="preserve">Accurate answers on answerable questions (Q01 to Q15)</t>
  </si>
  <si>
    <t xml:space="preserve">Correct decline rate</t>
  </si>
  <si>
    <t xml:space="preserve">Not-covered questions (Q16 to Q20) where the assistant correctly declined</t>
  </si>
  <si>
    <t xml:space="preserve">Groundedness</t>
  </si>
  <si>
    <t xml:space="preserve">Answers fully supported by retrieved text, all questions</t>
  </si>
  <si>
    <t xml:space="preserve">Overall accuracy (all 20)</t>
  </si>
  <si>
    <t xml:space="preserve">Accurate or correct behavior across the full set</t>
  </si>
  <si>
    <t xml:space="preserve">Average latency (s)</t>
  </si>
  <si>
    <t xml:space="preserve">Mean of recorded latencies</t>
  </si>
  <si>
    <t xml:space="preserve">• Always report the sample size (n=20) next to every figure.</t>
  </si>
  <si>
    <t xml:space="preserve">• Hit rate is measured on the 15 answerable questions; the 5 not-covered questions are reported separately as correct decline rate.</t>
  </si>
  <si>
    <t xml:space="preserve">• For Q13 to Q15 (ambiguous), mark Accurate = Y if the assistant asks for clarification or handles the ambiguity sensibly.</t>
  </si>
  <si>
    <t xml:space="preserve">• Policy text source: Masai assessment brief (doc_01 to doc_08). Questions written from that text.</t>
  </si>
  <si>
    <t xml:space="preserve">• Evaluation metrics show technical performance, not business impact; don't claim reduced support time or cost.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</si>
</sst>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44"/>
    <col collapsed="false" customWidth="true" hidden="false" outlineLevel="0" max="4" min="4" style="0" width="52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3.8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/>
      <c r="H2" s="4"/>
      <c r="I2" s="4"/>
      <c r="J2" s="4"/>
      <c r="K2" s="5"/>
      <c r="L2" s="3"/>
    </row>
    <row r="3" customFormat="false" ht="15" hidden="false" customHeight="false" outlineLevel="0" collapsed="false">
      <c r="A3" s="2" t="s">
        <v>18</v>
      </c>
      <c r="B3" s="2" t="s">
        <v>13</v>
      </c>
      <c r="C3" s="2" t="s">
        <v>19</v>
      </c>
      <c r="D3" s="2" t="s">
        <v>20</v>
      </c>
      <c r="E3" s="2" t="s">
        <v>16</v>
      </c>
      <c r="F3" s="2" t="s">
        <v>17</v>
      </c>
      <c r="G3" s="3"/>
      <c r="H3" s="4"/>
      <c r="I3" s="4"/>
      <c r="J3" s="4"/>
      <c r="K3" s="5"/>
      <c r="L3" s="3"/>
    </row>
    <row r="4" customFormat="false" ht="15" hidden="false" customHeight="false" outlineLevel="0" collapsed="false">
      <c r="A4" s="2" t="s">
        <v>21</v>
      </c>
      <c r="B4" s="2" t="s">
        <v>13</v>
      </c>
      <c r="C4" s="2" t="s">
        <v>22</v>
      </c>
      <c r="D4" s="2" t="s">
        <v>23</v>
      </c>
      <c r="E4" s="2" t="s">
        <v>24</v>
      </c>
      <c r="F4" s="2" t="s">
        <v>17</v>
      </c>
      <c r="G4" s="3"/>
      <c r="H4" s="4"/>
      <c r="I4" s="4"/>
      <c r="J4" s="4"/>
      <c r="K4" s="5"/>
      <c r="L4" s="3"/>
    </row>
    <row r="5" customFormat="false" ht="23.85" hidden="false" customHeight="false" outlineLevel="0" collapsed="false">
      <c r="A5" s="2" t="s">
        <v>25</v>
      </c>
      <c r="B5" s="2" t="s">
        <v>13</v>
      </c>
      <c r="C5" s="2" t="s">
        <v>26</v>
      </c>
      <c r="D5" s="2" t="s">
        <v>27</v>
      </c>
      <c r="E5" s="2" t="s">
        <v>28</v>
      </c>
      <c r="F5" s="2" t="s">
        <v>17</v>
      </c>
      <c r="G5" s="3"/>
      <c r="H5" s="4"/>
      <c r="I5" s="4"/>
      <c r="J5" s="4"/>
      <c r="K5" s="5"/>
      <c r="L5" s="3"/>
    </row>
    <row r="6" customFormat="false" ht="15" hidden="false" customHeight="false" outlineLevel="0" collapsed="false">
      <c r="A6" s="2" t="s">
        <v>29</v>
      </c>
      <c r="B6" s="2" t="s">
        <v>13</v>
      </c>
      <c r="C6" s="2" t="s">
        <v>30</v>
      </c>
      <c r="D6" s="2" t="s">
        <v>31</v>
      </c>
      <c r="E6" s="2" t="s">
        <v>32</v>
      </c>
      <c r="F6" s="2" t="s">
        <v>17</v>
      </c>
      <c r="G6" s="3"/>
      <c r="H6" s="4"/>
      <c r="I6" s="4"/>
      <c r="J6" s="4"/>
      <c r="K6" s="5"/>
      <c r="L6" s="3"/>
    </row>
    <row r="7" customFormat="false" ht="15" hidden="false" customHeight="false" outlineLevel="0" collapsed="false">
      <c r="A7" s="2" t="s">
        <v>33</v>
      </c>
      <c r="B7" s="2" t="s">
        <v>13</v>
      </c>
      <c r="C7" s="2" t="s">
        <v>34</v>
      </c>
      <c r="D7" s="2" t="s">
        <v>35</v>
      </c>
      <c r="E7" s="2" t="s">
        <v>36</v>
      </c>
      <c r="F7" s="2" t="s">
        <v>17</v>
      </c>
      <c r="G7" s="3"/>
      <c r="H7" s="4"/>
      <c r="I7" s="4"/>
      <c r="J7" s="4"/>
      <c r="K7" s="5"/>
      <c r="L7" s="3"/>
    </row>
    <row r="8" customFormat="false" ht="23.85" hidden="false" customHeight="false" outlineLevel="0" collapsed="false">
      <c r="A8" s="2" t="s">
        <v>37</v>
      </c>
      <c r="B8" s="2" t="s">
        <v>13</v>
      </c>
      <c r="C8" s="2" t="s">
        <v>38</v>
      </c>
      <c r="D8" s="2" t="s">
        <v>39</v>
      </c>
      <c r="E8" s="2" t="s">
        <v>40</v>
      </c>
      <c r="F8" s="2" t="s">
        <v>17</v>
      </c>
      <c r="G8" s="3"/>
      <c r="H8" s="4"/>
      <c r="I8" s="4"/>
      <c r="J8" s="4"/>
      <c r="K8" s="5"/>
      <c r="L8" s="3"/>
    </row>
    <row r="9" customFormat="false" ht="23.85" hidden="false" customHeight="false" outlineLevel="0" collapsed="false">
      <c r="A9" s="2" t="s">
        <v>41</v>
      </c>
      <c r="B9" s="2" t="s">
        <v>13</v>
      </c>
      <c r="C9" s="2" t="s">
        <v>42</v>
      </c>
      <c r="D9" s="2" t="s">
        <v>43</v>
      </c>
      <c r="E9" s="2" t="s">
        <v>44</v>
      </c>
      <c r="F9" s="2" t="s">
        <v>17</v>
      </c>
      <c r="G9" s="3"/>
      <c r="H9" s="4"/>
      <c r="I9" s="4"/>
      <c r="J9" s="4"/>
      <c r="K9" s="5"/>
      <c r="L9" s="3"/>
    </row>
    <row r="10" customFormat="false" ht="23.85" hidden="false" customHeight="false" outlineLevel="0" collapsed="false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3"/>
      <c r="H10" s="4"/>
      <c r="I10" s="4"/>
      <c r="J10" s="4"/>
      <c r="K10" s="5"/>
      <c r="L10" s="3"/>
    </row>
    <row r="11" customFormat="false" ht="23.85" hidden="false" customHeight="false" outlineLevel="0" collapsed="false">
      <c r="A11" s="2" t="s">
        <v>51</v>
      </c>
      <c r="B11" s="2" t="s">
        <v>46</v>
      </c>
      <c r="C11" s="2" t="s">
        <v>52</v>
      </c>
      <c r="D11" s="2" t="s">
        <v>53</v>
      </c>
      <c r="E11" s="2" t="s">
        <v>54</v>
      </c>
      <c r="F11" s="2" t="s">
        <v>50</v>
      </c>
      <c r="G11" s="3"/>
      <c r="H11" s="4"/>
      <c r="I11" s="4"/>
      <c r="J11" s="4"/>
      <c r="K11" s="5"/>
      <c r="L11" s="3"/>
    </row>
    <row r="12" customFormat="false" ht="35.05" hidden="false" customHeight="false" outlineLevel="0" collapsed="false">
      <c r="A12" s="2" t="s">
        <v>55</v>
      </c>
      <c r="B12" s="2" t="s">
        <v>46</v>
      </c>
      <c r="C12" s="2" t="s">
        <v>56</v>
      </c>
      <c r="D12" s="2" t="s">
        <v>57</v>
      </c>
      <c r="E12" s="2" t="s">
        <v>58</v>
      </c>
      <c r="F12" s="2" t="s">
        <v>50</v>
      </c>
      <c r="G12" s="3"/>
      <c r="H12" s="4"/>
      <c r="I12" s="4"/>
      <c r="J12" s="4"/>
      <c r="K12" s="5"/>
      <c r="L12" s="3"/>
    </row>
    <row r="13" customFormat="false" ht="23.85" hidden="false" customHeight="false" outlineLevel="0" collapsed="false">
      <c r="A13" s="2" t="s">
        <v>59</v>
      </c>
      <c r="B13" s="2" t="s">
        <v>46</v>
      </c>
      <c r="C13" s="2" t="s">
        <v>60</v>
      </c>
      <c r="D13" s="2" t="s">
        <v>61</v>
      </c>
      <c r="E13" s="2" t="s">
        <v>62</v>
      </c>
      <c r="F13" s="2" t="s">
        <v>50</v>
      </c>
      <c r="G13" s="3"/>
      <c r="H13" s="4"/>
      <c r="I13" s="4"/>
      <c r="J13" s="4"/>
      <c r="K13" s="5"/>
      <c r="L13" s="3"/>
    </row>
    <row r="14" customFormat="false" ht="23.85" hidden="false" customHeight="false" outlineLevel="0" collapsed="false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2" t="s">
        <v>68</v>
      </c>
      <c r="G14" s="3"/>
      <c r="H14" s="4"/>
      <c r="I14" s="4"/>
      <c r="J14" s="4"/>
      <c r="K14" s="5"/>
      <c r="L14" s="3"/>
    </row>
    <row r="15" customFormat="false" ht="23.85" hidden="false" customHeight="false" outlineLevel="0" collapsed="false">
      <c r="A15" s="2" t="s">
        <v>69</v>
      </c>
      <c r="B15" s="2" t="s">
        <v>64</v>
      </c>
      <c r="C15" s="2" t="s">
        <v>70</v>
      </c>
      <c r="D15" s="2" t="s">
        <v>71</v>
      </c>
      <c r="E15" s="2" t="s">
        <v>72</v>
      </c>
      <c r="F15" s="2" t="s">
        <v>68</v>
      </c>
      <c r="G15" s="3"/>
      <c r="H15" s="4"/>
      <c r="I15" s="4"/>
      <c r="J15" s="4"/>
      <c r="K15" s="5"/>
      <c r="L15" s="3"/>
    </row>
    <row r="16" customFormat="false" ht="23.85" hidden="false" customHeight="false" outlineLevel="0" collapsed="false">
      <c r="A16" s="2" t="s">
        <v>73</v>
      </c>
      <c r="B16" s="2" t="s">
        <v>64</v>
      </c>
      <c r="C16" s="2" t="s">
        <v>74</v>
      </c>
      <c r="D16" s="2" t="s">
        <v>75</v>
      </c>
      <c r="E16" s="2" t="s">
        <v>24</v>
      </c>
      <c r="F16" s="2" t="s">
        <v>68</v>
      </c>
      <c r="G16" s="3"/>
      <c r="H16" s="4"/>
      <c r="I16" s="4"/>
      <c r="J16" s="4"/>
      <c r="K16" s="5"/>
      <c r="L16" s="3"/>
    </row>
    <row r="17" customFormat="false" ht="23.85" hidden="false" customHeight="false" outlineLevel="0" collapsed="false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2" t="s">
        <v>81</v>
      </c>
      <c r="G17" s="3"/>
      <c r="H17" s="4"/>
      <c r="I17" s="4"/>
      <c r="J17" s="4"/>
      <c r="K17" s="5"/>
      <c r="L17" s="3"/>
    </row>
    <row r="18" customFormat="false" ht="15" hidden="false" customHeight="false" outlineLevel="0" collapsed="false">
      <c r="A18" s="2" t="s">
        <v>82</v>
      </c>
      <c r="B18" s="2" t="s">
        <v>77</v>
      </c>
      <c r="C18" s="2" t="s">
        <v>83</v>
      </c>
      <c r="D18" s="2" t="s">
        <v>84</v>
      </c>
      <c r="E18" s="2" t="s">
        <v>80</v>
      </c>
      <c r="F18" s="2" t="s">
        <v>81</v>
      </c>
      <c r="G18" s="3"/>
      <c r="H18" s="4"/>
      <c r="I18" s="4"/>
      <c r="J18" s="4"/>
      <c r="K18" s="5"/>
      <c r="L18" s="3"/>
    </row>
    <row r="19" customFormat="false" ht="15" hidden="false" customHeight="false" outlineLevel="0" collapsed="false">
      <c r="A19" s="2" t="s">
        <v>85</v>
      </c>
      <c r="B19" s="2" t="s">
        <v>77</v>
      </c>
      <c r="C19" s="2" t="s">
        <v>86</v>
      </c>
      <c r="D19" s="2" t="s">
        <v>84</v>
      </c>
      <c r="E19" s="2" t="s">
        <v>80</v>
      </c>
      <c r="F19" s="2" t="s">
        <v>81</v>
      </c>
      <c r="G19" s="3"/>
      <c r="H19" s="4"/>
      <c r="I19" s="4"/>
      <c r="J19" s="4"/>
      <c r="K19" s="5"/>
      <c r="L19" s="3"/>
    </row>
    <row r="20" customFormat="false" ht="15" hidden="false" customHeight="false" outlineLevel="0" collapsed="false">
      <c r="A20" s="2" t="s">
        <v>87</v>
      </c>
      <c r="B20" s="2" t="s">
        <v>77</v>
      </c>
      <c r="C20" s="2" t="s">
        <v>88</v>
      </c>
      <c r="D20" s="2" t="s">
        <v>84</v>
      </c>
      <c r="E20" s="2" t="s">
        <v>80</v>
      </c>
      <c r="F20" s="2" t="s">
        <v>81</v>
      </c>
      <c r="G20" s="3"/>
      <c r="H20" s="4"/>
      <c r="I20" s="4"/>
      <c r="J20" s="4"/>
      <c r="K20" s="5"/>
      <c r="L20" s="3"/>
    </row>
    <row r="21" customFormat="false" ht="23.85" hidden="false" customHeight="false" outlineLevel="0" collapsed="false">
      <c r="A21" s="2" t="s">
        <v>89</v>
      </c>
      <c r="B21" s="2" t="s">
        <v>77</v>
      </c>
      <c r="C21" s="2" t="s">
        <v>90</v>
      </c>
      <c r="D21" s="2" t="s">
        <v>84</v>
      </c>
      <c r="E21" s="2" t="s">
        <v>80</v>
      </c>
      <c r="F21" s="2" t="s">
        <v>81</v>
      </c>
      <c r="G21" s="3"/>
      <c r="H21" s="4"/>
      <c r="I21" s="4"/>
      <c r="J21" s="4"/>
      <c r="K21" s="5"/>
      <c r="L21" s="3"/>
    </row>
  </sheetData>
  <autoFilter ref="A1:L21"/>
  <dataValidations count="1">
    <dataValidation allowBlank="true" errorStyle="stop" operator="between" showDropDown="false" showErrorMessage="false" showInputMessage="false" sqref="H2:J2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6" t="s">
        <v>91</v>
      </c>
    </row>
    <row r="2" customFormat="false" ht="15" hidden="false" customHeight="false" outlineLevel="0" collapsed="false">
      <c r="A2" s="7" t="s">
        <v>92</v>
      </c>
    </row>
    <row r="4" customFormat="false" ht="15" hidden="false" customHeight="false" outlineLevel="0" collapsed="false">
      <c r="A4" s="8" t="s">
        <v>93</v>
      </c>
      <c r="B4" s="8" t="s">
        <v>94</v>
      </c>
      <c r="C4" s="8" t="s">
        <v>95</v>
      </c>
      <c r="D4" s="8" t="s">
        <v>96</v>
      </c>
      <c r="E4" s="8" t="s">
        <v>97</v>
      </c>
    </row>
    <row r="5" customFormat="false" ht="15" hidden="false" customHeight="false" outlineLevel="0" collapsed="false">
      <c r="A5" s="9" t="s">
        <v>98</v>
      </c>
      <c r="B5" s="10" t="n">
        <f aca="false">C5</f>
        <v>0</v>
      </c>
      <c r="C5" s="11"/>
      <c r="D5" s="11"/>
      <c r="E5" s="9" t="s">
        <v>99</v>
      </c>
    </row>
    <row r="6" customFormat="false" ht="15" hidden="false" customHeight="false" outlineLevel="0" collapsed="false">
      <c r="A6" s="9" t="s">
        <v>100</v>
      </c>
      <c r="B6" s="12" t="str">
        <f aca="false">IF(D6=0,"n/a",IF(COUNTA('Test Set'!$H$2:$H$21,'Test Set'!$I$2:$I$21,'Test Set'!$J$2:$J$21)=0,"Not run yet",C6/D6))</f>
        <v>Not run yet</v>
      </c>
      <c r="C6" s="11" t="n">
        <f aca="false">COUNTIFS('Test Set'!$F$2:$F$21,"&lt;&gt;Decline",'Test Set'!$H$2:$H$21,"Y")</f>
        <v>0</v>
      </c>
      <c r="D6" s="11" t="n">
        <f aca="false">COUNTIFS('Test Set'!$F$2:$F$21,"&lt;&gt;Decline")</f>
        <v>15</v>
      </c>
      <c r="E6" s="9" t="s">
        <v>101</v>
      </c>
    </row>
    <row r="7" customFormat="false" ht="15" hidden="false" customHeight="false" outlineLevel="0" collapsed="false">
      <c r="A7" s="9" t="s">
        <v>102</v>
      </c>
      <c r="B7" s="12" t="str">
        <f aca="false">IF(D7=0,"n/a",IF(COUNTA('Test Set'!$H$2:$H$21,'Test Set'!$I$2:$I$21,'Test Set'!$J$2:$J$21)=0,"Not run yet",C7/D7))</f>
        <v>Not run yet</v>
      </c>
      <c r="C7" s="11" t="n">
        <f aca="false">COUNTIFS('Test Set'!$F$2:$F$21,"&lt;&gt;Decline",'Test Set'!$I$2:$I$21,"Y")</f>
        <v>0</v>
      </c>
      <c r="D7" s="11" t="n">
        <f aca="false">COUNTIFS('Test Set'!$F$2:$F$21,"&lt;&gt;Decline")</f>
        <v>15</v>
      </c>
      <c r="E7" s="9" t="s">
        <v>103</v>
      </c>
    </row>
    <row r="8" customFormat="false" ht="15" hidden="false" customHeight="false" outlineLevel="0" collapsed="false">
      <c r="A8" s="9" t="s">
        <v>104</v>
      </c>
      <c r="B8" s="12" t="str">
        <f aca="false">IF(D8=0,"n/a",IF(COUNTA('Test Set'!$H$2:$H$21,'Test Set'!$I$2:$I$21,'Test Set'!$J$2:$J$21)=0,"Not run yet",C8/D8))</f>
        <v>Not run yet</v>
      </c>
      <c r="C8" s="11" t="n">
        <f aca="false">COUNTIFS('Test Set'!$F$2:$F$21,"Decline",'Test Set'!$I$2:$I$21,"Y")</f>
        <v>0</v>
      </c>
      <c r="D8" s="11" t="n">
        <f aca="false">COUNTIFS('Test Set'!$F$2:$F$21,"Decline")</f>
        <v>5</v>
      </c>
      <c r="E8" s="9" t="s">
        <v>105</v>
      </c>
    </row>
    <row r="9" customFormat="false" ht="15" hidden="false" customHeight="false" outlineLevel="0" collapsed="false">
      <c r="A9" s="9" t="s">
        <v>106</v>
      </c>
      <c r="B9" s="12" t="str">
        <f aca="false">IF(D9=0,"n/a",IF(COUNTA('Test Set'!$H$2:$H$21,'Test Set'!$I$2:$I$21,'Test Set'!$J$2:$J$21)=0,"Not run yet",C9/D9))</f>
        <v>Not run yet</v>
      </c>
      <c r="C9" s="11" t="n">
        <f aca="false">COUNTIF('Test Set'!$J$2:$J$21,"Y")</f>
        <v>0</v>
      </c>
      <c r="D9" s="11" t="n">
        <f aca="false">COUNTA('Test Set'!$A$2:$A$21)</f>
        <v>20</v>
      </c>
      <c r="E9" s="9" t="s">
        <v>107</v>
      </c>
    </row>
    <row r="10" customFormat="false" ht="15" hidden="false" customHeight="false" outlineLevel="0" collapsed="false">
      <c r="A10" s="9" t="s">
        <v>108</v>
      </c>
      <c r="B10" s="12" t="str">
        <f aca="false">IF(D10=0,"n/a",IF(COUNTA('Test Set'!$H$2:$H$21,'Test Set'!$I$2:$I$21,'Test Set'!$J$2:$J$21)=0,"Not run yet",C10/D10))</f>
        <v>Not run yet</v>
      </c>
      <c r="C10" s="11" t="n">
        <f aca="false">COUNTIF('Test Set'!$I$2:$I$21,"Y")</f>
        <v>0</v>
      </c>
      <c r="D10" s="11" t="n">
        <f aca="false">COUNTA('Test Set'!$A$2:$A$21)</f>
        <v>20</v>
      </c>
      <c r="E10" s="9" t="s">
        <v>109</v>
      </c>
    </row>
    <row r="11" customFormat="false" ht="15" hidden="false" customHeight="false" outlineLevel="0" collapsed="false">
      <c r="A11" s="9" t="s">
        <v>110</v>
      </c>
      <c r="B11" s="13" t="str">
        <f aca="false">IF(D11=0,"Not run yet",C11/D11)</f>
        <v>Not run yet</v>
      </c>
      <c r="C11" s="14" t="n">
        <f aca="false">SUM('Test Set'!$K$2:$K$21)</f>
        <v>0</v>
      </c>
      <c r="D11" s="11" t="n">
        <f aca="false">COUNT('Test Set'!$K$2:$K$21)</f>
        <v>0</v>
      </c>
      <c r="E11" s="9" t="s">
        <v>111</v>
      </c>
    </row>
    <row r="13" customFormat="false" ht="15" hidden="false" customHeight="false" outlineLevel="0" collapsed="false">
      <c r="A13" s="15" t="s">
        <v>11</v>
      </c>
    </row>
    <row r="14" customFormat="false" ht="15" hidden="false" customHeight="false" outlineLevel="0" collapsed="false">
      <c r="A14" s="16" t="s">
        <v>112</v>
      </c>
    </row>
    <row r="15" customFormat="false" ht="15" hidden="false" customHeight="false" outlineLevel="0" collapsed="false">
      <c r="A15" s="16" t="s">
        <v>113</v>
      </c>
    </row>
    <row r="16" customFormat="false" ht="15" hidden="false" customHeight="false" outlineLevel="0" collapsed="false">
      <c r="A16" s="16" t="s">
        <v>114</v>
      </c>
    </row>
    <row r="17" customFormat="false" ht="15" hidden="false" customHeight="false" outlineLevel="0" collapsed="false">
      <c r="A17" s="16" t="s">
        <v>115</v>
      </c>
    </row>
    <row r="18" customFormat="false" ht="15" hidden="false" customHeight="false" outlineLevel="0" collapsed="false">
      <c r="A18" s="16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2026-10-25T17:33:29Z</dcterms:created>
  <dc:creator>openpyxl</dc:creator>
  <dc:description/>
  <dc:language>en-US</dc:language>
  <cp:lastModifiedBy/>
  <dcterms:modified xsi:type="dcterms:W3CDTF">2026-10-25T17:33:29Z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