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est Set" sheetId="1" state="visible" r:id="rId1"/>
    <sheet name="Metrics" sheetId="2" state="visible" r:id="rId2"/>
  </sheets>
  <definedNames>
    <definedName name="_xlnm._FilterDatabase" localSheetId="0" hidden="1">'Test Set'!$A$1:$L$21</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sz val="14"/>
    </font>
    <font>
      <name val="Arial"/>
      <charset val="1"/>
      <family val="0"/>
      <i val="1"/>
      <sz val="10"/>
    </font>
    <font>
      <name val="Arial"/>
      <charset val="1"/>
      <family val="0"/>
      <b val="1"/>
      <sz val="10"/>
    </font>
    <font>
      <name val="Arial"/>
      <charset val="1"/>
      <family val="0"/>
      <b val="1"/>
      <sz val="11"/>
    </font>
    <font>
      <name val="Arial"/>
      <b val="1"/>
      <color rgb="00FFFFFF"/>
    </font>
    <font>
      <name val="Arial"/>
      <sz val="10"/>
    </font>
  </fonts>
  <fills count="5">
    <fill>
      <patternFill/>
    </fill>
    <fill>
      <patternFill patternType="gray125"/>
    </fill>
    <fill>
      <patternFill patternType="solid">
        <fgColor rgb="FF1F3864"/>
        <bgColor rgb="FF333333"/>
      </patternFill>
    </fill>
    <fill>
      <patternFill patternType="solid">
        <fgColor rgb="FFFFF2CC"/>
        <bgColor rgb="FFFFFFFF"/>
      </patternFill>
    </fill>
    <fill>
      <patternFill patternType="solid">
        <fgColor rgb="00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3" borderId="1" applyAlignment="1" pivotButton="0" quotePrefix="0" xfId="0">
      <alignment horizontal="center" vertical="top"/>
    </xf>
    <xf numFmtId="2" fontId="5" fillId="3" borderId="1"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4" fillId="2" borderId="1" applyAlignment="1" pivotButton="0" quotePrefix="0" xfId="0">
      <alignment horizontal="general" vertical="bottom"/>
    </xf>
    <xf numFmtId="0" fontId="5" fillId="0" borderId="1" applyAlignment="1" pivotButton="0" quotePrefix="0" xfId="0">
      <alignment horizontal="left" vertical="top" wrapText="1"/>
    </xf>
    <xf numFmtId="1" fontId="8" fillId="0" borderId="1" applyAlignment="1" pivotButton="0" quotePrefix="0" xfId="0">
      <alignment horizontal="center" vertical="top" wrapText="1"/>
    </xf>
    <xf numFmtId="0" fontId="5" fillId="0" borderId="1" applyAlignment="1" pivotButton="0" quotePrefix="0" xfId="0">
      <alignment horizontal="center" vertical="top" wrapText="1"/>
    </xf>
    <xf numFmtId="164" fontId="8" fillId="0" borderId="1" applyAlignment="1" pivotButton="0" quotePrefix="0" xfId="0">
      <alignment horizontal="center" vertical="top" wrapText="1"/>
    </xf>
    <xf numFmtId="2" fontId="8" fillId="0" borderId="1" applyAlignment="1" pivotButton="0" quotePrefix="0" xfId="0">
      <alignment horizontal="center" vertical="top" wrapText="1"/>
    </xf>
    <xf numFmtId="2" fontId="5" fillId="0" borderId="1" applyAlignment="1" pivotButton="0" quotePrefix="0" xfId="0">
      <alignment horizontal="center" vertical="top" wrapText="1"/>
    </xf>
    <xf numFmtId="0" fontId="9"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10" fillId="4" borderId="0" pivotButton="0" quotePrefix="0" xfId="0"/>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3" borderId="1" applyAlignment="1" pivotButton="0" quotePrefix="0" xfId="0">
      <alignment horizontal="center" vertical="top"/>
    </xf>
    <xf numFmtId="2" fontId="5" fillId="3" borderId="1" applyAlignment="1" pivotButton="0" quotePrefix="0" xfId="0">
      <alignment horizontal="general" vertical="top" wrapText="1"/>
    </xf>
    <xf numFmtId="0" fontId="11" fillId="0" borderId="0" applyAlignment="1" pivotButton="0" quotePrefix="0" xfId="0">
      <alignment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4" fillId="2" borderId="1" applyAlignment="1" pivotButton="0" quotePrefix="0" xfId="0">
      <alignment horizontal="general" vertical="bottom"/>
    </xf>
    <xf numFmtId="0" fontId="5" fillId="0" borderId="1" applyAlignment="1" pivotButton="0" quotePrefix="0" xfId="0">
      <alignment horizontal="left" vertical="top" wrapText="1"/>
    </xf>
    <xf numFmtId="1" fontId="8" fillId="0" borderId="1" applyAlignment="1" pivotButton="0" quotePrefix="0" xfId="0">
      <alignment horizontal="center" vertical="top" wrapText="1"/>
    </xf>
    <xf numFmtId="0" fontId="5" fillId="0" borderId="1" applyAlignment="1" pivotButton="0" quotePrefix="0" xfId="0">
      <alignment horizontal="center" vertical="top" wrapText="1"/>
    </xf>
    <xf numFmtId="164" fontId="8" fillId="0" borderId="1" applyAlignment="1" pivotButton="0" quotePrefix="0" xfId="0">
      <alignment horizontal="center" vertical="top" wrapText="1"/>
    </xf>
    <xf numFmtId="2" fontId="8" fillId="0" borderId="1" applyAlignment="1" pivotButton="0" quotePrefix="0" xfId="0">
      <alignment horizontal="center" vertical="top" wrapText="1"/>
    </xf>
    <xf numFmtId="2" fontId="5" fillId="0" borderId="1" applyAlignment="1" pivotButton="0" quotePrefix="0" xfId="0">
      <alignment horizontal="center" vertical="top" wrapText="1"/>
    </xf>
    <xf numFmtId="0" fontId="9" fillId="0" borderId="0" applyAlignment="1" pivotButton="0" quotePrefix="0" xfId="0">
      <alignment horizontal="general" vertical="bottom"/>
    </xf>
    <xf numFmtId="0" fontId="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M21"/>
  <sheetViews>
    <sheetView showFormulas="0" showGridLines="1" showRowColHeaders="1" showZeros="1" rightToLeft="0" tabSelected="1"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9" customWidth="1" style="17" min="1" max="1"/>
    <col width="17" customWidth="1" style="17" min="2" max="2"/>
    <col width="44" customWidth="1" style="17" min="3" max="3"/>
    <col width="52" customWidth="1" style="17" min="4" max="4"/>
    <col width="20" customWidth="1" style="17" min="5" max="5"/>
    <col width="18" customWidth="1" style="17" min="6" max="6"/>
    <col width="26" customWidth="1" style="17" min="7" max="7"/>
    <col width="10" customWidth="1" style="17" min="8" max="8"/>
    <col width="11" customWidth="1" style="17" min="9" max="9"/>
    <col width="12" customWidth="1" style="17" min="10" max="10"/>
    <col width="11" customWidth="1" style="17" min="11" max="11"/>
    <col width="30" customWidth="1" style="17" min="12" max="12"/>
    <col width="60" customWidth="1" style="18" min="13" max="13"/>
  </cols>
  <sheetData>
    <row r="1" ht="31.5" customHeight="1" s="18">
      <c r="A1" s="19" t="inlineStr">
        <is>
          <t>Test ID</t>
        </is>
      </c>
      <c r="B1" s="19" t="inlineStr">
        <is>
          <t>Category</t>
        </is>
      </c>
      <c r="C1" s="19" t="inlineStr">
        <is>
          <t>Question</t>
        </is>
      </c>
      <c r="D1" s="19" t="inlineStr">
        <is>
          <t>Expected answer / behavior</t>
        </is>
      </c>
      <c r="E1" s="19" t="inlineStr">
        <is>
          <t>Expected source</t>
        </is>
      </c>
      <c r="F1" s="19" t="inlineStr">
        <is>
          <t>Expected behavior</t>
        </is>
      </c>
      <c r="G1" s="19" t="inlineStr">
        <is>
          <t>Retrieved sources (top 3)</t>
        </is>
      </c>
      <c r="H1" s="19" t="inlineStr">
        <is>
          <t>Hit? (Y/N)</t>
        </is>
      </c>
      <c r="I1" s="19" t="inlineStr">
        <is>
          <t>Accurate? (Y/N)</t>
        </is>
      </c>
      <c r="J1" s="19" t="inlineStr">
        <is>
          <t>Grounded? (Y/N)</t>
        </is>
      </c>
      <c r="K1" s="19" t="inlineStr">
        <is>
          <t>Latency (s)</t>
        </is>
      </c>
      <c r="L1" s="19" t="inlineStr">
        <is>
          <t>Notes</t>
        </is>
      </c>
      <c r="M1" s="20" t="inlineStr">
        <is>
          <t>Assistant answer</t>
        </is>
      </c>
    </row>
    <row r="2" ht="23.85" customHeight="1" s="18">
      <c r="A2" s="21" t="inlineStr">
        <is>
          <t>Q01</t>
        </is>
      </c>
      <c r="B2" s="21" t="inlineStr">
        <is>
          <t>Directly answered</t>
        </is>
      </c>
      <c r="C2" s="21" t="inlineStr">
        <is>
          <t>How fast does Zepto deliver?</t>
        </is>
      </c>
      <c r="D2" s="21" t="inlineStr">
        <is>
          <t>10 to 30 minutes after order confirmation, depending on zone and order volume</t>
        </is>
      </c>
      <c r="E2" s="21" t="inlineStr">
        <is>
          <t>doc_01</t>
        </is>
      </c>
      <c r="F2" s="21" t="inlineStr">
        <is>
          <t>Answer</t>
        </is>
      </c>
      <c r="G2" s="22" t="inlineStr">
        <is>
          <t>doc_01.txt | doc_04.txt | doc_08.txt</t>
        </is>
      </c>
      <c r="H2" s="23" t="n"/>
      <c r="I2" s="23" t="n"/>
      <c r="J2" s="23" t="n"/>
      <c r="K2" s="24" t="n">
        <v>24.44</v>
      </c>
      <c r="L2" s="22" t="n"/>
      <c r="M2" s="25" t="inlineStr">
        <is>
          <t>Delivery takes 10 to 30 minutes after order confirmation, depending on the delivery zone and current order volume.</t>
        </is>
      </c>
    </row>
    <row r="3" ht="15" customHeight="1" s="18">
      <c r="A3" s="21" t="inlineStr">
        <is>
          <t>Q02</t>
        </is>
      </c>
      <c r="B3" s="21" t="inlineStr">
        <is>
          <t>Directly answered</t>
        </is>
      </c>
      <c r="C3" s="21" t="inlineStr">
        <is>
          <t>Will I pay a delivery fee on a ₹120 order?</t>
        </is>
      </c>
      <c r="D3" s="21" t="inlineStr">
        <is>
          <t>Yes, a flat ₹25 fee; free delivery applies only above ₹149</t>
        </is>
      </c>
      <c r="E3" s="21" t="inlineStr">
        <is>
          <t>doc_01</t>
        </is>
      </c>
      <c r="F3" s="21" t="inlineStr">
        <is>
          <t>Answer</t>
        </is>
      </c>
      <c r="G3" s="22" t="inlineStr">
        <is>
          <t>doc_01.txt | doc_05.txt | doc_06.txt</t>
        </is>
      </c>
      <c r="H3" s="23" t="n"/>
      <c r="I3" s="23" t="n"/>
      <c r="J3" s="23" t="n"/>
      <c r="K3" s="24" t="n">
        <v>0.04</v>
      </c>
      <c r="L3" s="22" t="n"/>
      <c r="M3" s="25" t="inlineStr">
        <is>
          <t>Standard delivery is free on orders over INR 149. Orders below this threshold incur a flat INR 25 fee.</t>
        </is>
      </c>
    </row>
    <row r="4" ht="15" customHeight="1" s="18">
      <c r="A4" s="21" t="inlineStr">
        <is>
          <t>Q03</t>
        </is>
      </c>
      <c r="B4" s="21" t="inlineStr">
        <is>
          <t>Directly answered</t>
        </is>
      </c>
      <c r="C4" s="21" t="inlineStr">
        <is>
          <t>Can I return an opened personal care item?</t>
        </is>
      </c>
      <c r="D4" s="21" t="inlineStr">
        <is>
          <t>No, unless it has a manufacturing defect</t>
        </is>
      </c>
      <c r="E4" s="21" t="inlineStr">
        <is>
          <t>doc_02</t>
        </is>
      </c>
      <c r="F4" s="21" t="inlineStr">
        <is>
          <t>Answer</t>
        </is>
      </c>
      <c r="G4" s="22" t="inlineStr">
        <is>
          <t>doc_02.txt | doc_06.txt | doc_05.txt</t>
        </is>
      </c>
      <c r="H4" s="23" t="n"/>
      <c r="I4" s="23" t="n"/>
      <c r="J4" s="23" t="n"/>
      <c r="K4" s="24" t="n">
        <v>0.02</v>
      </c>
      <c r="L4" s="22" t="n"/>
      <c r="M4" s="25" t="inlineStr">
        <is>
          <t>Opened personal-care items are non-returnable unless they have a manufacturing defect.</t>
        </is>
      </c>
    </row>
    <row r="5" ht="23.85" customHeight="1" s="18">
      <c r="A5" s="21" t="inlineStr">
        <is>
          <t>Q04</t>
        </is>
      </c>
      <c r="B5" s="21" t="inlineStr">
        <is>
          <t>Directly answered</t>
        </is>
      </c>
      <c r="C5" s="21" t="inlineStr">
        <is>
          <t>Can I cancel my order after it has been packed?</t>
        </is>
      </c>
      <c r="D5" s="21" t="inlineStr">
        <is>
          <t>No, not through the app, because the rider is dispatched right after packing</t>
        </is>
      </c>
      <c r="E5" s="21" t="inlineStr">
        <is>
          <t>doc_05</t>
        </is>
      </c>
      <c r="F5" s="21" t="inlineStr">
        <is>
          <t>Answer</t>
        </is>
      </c>
      <c r="G5" s="22" t="inlineStr">
        <is>
          <t>doc_05.txt | doc_02.txt | doc_06.txt</t>
        </is>
      </c>
      <c r="H5" s="23" t="n"/>
      <c r="I5" s="23" t="n"/>
      <c r="J5" s="23" t="n"/>
      <c r="K5" s="24" t="n">
        <v>0.02</v>
      </c>
      <c r="L5" s="22" t="n"/>
      <c r="M5" s="25" t="inlineStr">
        <is>
          <t>Orders can be cancelled free of cost before their status changes to 'Packed'. Once packed, they can no longer be cancelled through the app because the rider is dispatched after packing.</t>
        </is>
      </c>
    </row>
    <row r="6" ht="15" customHeight="1" s="18">
      <c r="A6" s="21" t="inlineStr">
        <is>
          <t>Q05</t>
        </is>
      </c>
      <c r="B6" s="21" t="inlineStr">
        <is>
          <t>Directly answered</t>
        </is>
      </c>
      <c r="C6" s="21" t="inlineStr">
        <is>
          <t>What gift card amounts are available?</t>
        </is>
      </c>
      <c r="D6" s="21" t="inlineStr">
        <is>
          <t>₹100, ₹250, ₹500 and ₹1000</t>
        </is>
      </c>
      <c r="E6" s="21" t="inlineStr">
        <is>
          <t>doc_07</t>
        </is>
      </c>
      <c r="F6" s="21" t="inlineStr">
        <is>
          <t>Answer</t>
        </is>
      </c>
      <c r="G6" s="22" t="inlineStr">
        <is>
          <t>doc_07.txt | doc_01.txt | doc_03.txt</t>
        </is>
      </c>
      <c r="H6" s="23" t="n"/>
      <c r="I6" s="23" t="n"/>
      <c r="J6" s="23" t="n"/>
      <c r="K6" s="24" t="n">
        <v>0.02</v>
      </c>
      <c r="L6" s="22" t="n"/>
      <c r="M6" s="25" t="inlineStr">
        <is>
          <t>Zepto gift cards are available in denominations of INR 100, INR 250, INR 500, and INR 1000.</t>
        </is>
      </c>
    </row>
    <row r="7" ht="15" customHeight="1" s="18">
      <c r="A7" s="21" t="inlineStr">
        <is>
          <t>Q06</t>
        </is>
      </c>
      <c r="B7" s="21" t="inlineStr">
        <is>
          <t>Directly answered</t>
        </is>
      </c>
      <c r="C7" s="21" t="inlineStr">
        <is>
          <t>Can I call Zepto customer support by phone?</t>
        </is>
      </c>
      <c r="D7" s="21" t="inlineStr">
        <is>
          <t>No, phone support is not offered</t>
        </is>
      </c>
      <c r="E7" s="21" t="inlineStr">
        <is>
          <t>doc_08</t>
        </is>
      </c>
      <c r="F7" s="21" t="inlineStr">
        <is>
          <t>Answer</t>
        </is>
      </c>
      <c r="G7" s="22" t="inlineStr">
        <is>
          <t>doc_08.txt | doc_06.txt | doc_04.txt</t>
        </is>
      </c>
      <c r="H7" s="23" t="n"/>
      <c r="I7" s="23" t="n"/>
      <c r="J7" s="23" t="n"/>
      <c r="K7" s="24" t="n">
        <v>0.02</v>
      </c>
      <c r="L7" s="22" t="n"/>
      <c r="M7" s="25" t="inlineStr">
        <is>
          <t>Zepto does not offer customer support by phone.</t>
        </is>
      </c>
    </row>
    <row r="8" ht="23.85" customHeight="1" s="18">
      <c r="A8" s="21" t="inlineStr">
        <is>
          <t>Q07</t>
        </is>
      </c>
      <c r="B8" s="21" t="inlineStr">
        <is>
          <t>Directly answered</t>
        </is>
      </c>
      <c r="C8" s="21" t="inlineStr">
        <is>
          <t>What do I get with Zepto Pass+, and what does it cost?</t>
        </is>
      </c>
      <c r="D8" s="21" t="inlineStr">
        <is>
          <t>₹99 a month: free priority delivery, 10% off select categories, early access to limited-time deals</t>
        </is>
      </c>
      <c r="E8" s="21" t="inlineStr">
        <is>
          <t>doc_03</t>
        </is>
      </c>
      <c r="F8" s="21" t="inlineStr">
        <is>
          <t>Answer</t>
        </is>
      </c>
      <c r="G8" s="22" t="inlineStr">
        <is>
          <t>doc_03.txt | doc_01.txt | doc_07.txt</t>
        </is>
      </c>
      <c r="H8" s="23" t="n"/>
      <c r="I8" s="23" t="n"/>
      <c r="J8" s="23" t="n"/>
      <c r="K8" s="24" t="n">
        <v>0.02</v>
      </c>
      <c r="L8" s="22" t="n"/>
      <c r="M8" s="25" t="inlineStr">
        <is>
          <t>Zepto Pass+ costs INR 99 per month and includes free priority delivery, 10% off selected categories, and early access to limited-time deals 24 hours before they go live to Basic and Zepto Pass members.</t>
        </is>
      </c>
    </row>
    <row r="9" ht="23.85" customHeight="1" s="18">
      <c r="A9" s="21" t="inlineStr">
        <is>
          <t>Q08</t>
        </is>
      </c>
      <c r="B9" s="21" t="inlineStr">
        <is>
          <t>Directly answered</t>
        </is>
      </c>
      <c r="C9" s="21" t="inlineStr">
        <is>
          <t>My order shows no movement 25 minutes past the estimated time. What should I do?</t>
        </is>
      </c>
      <c r="D9" s="21" t="inlineStr">
        <is>
          <t>Contact support directly; 20+ minutes without movement suggests a likely delivery issue</t>
        </is>
      </c>
      <c r="E9" s="21" t="inlineStr">
        <is>
          <t>doc_04</t>
        </is>
      </c>
      <c r="F9" s="21" t="inlineStr">
        <is>
          <t>Answer</t>
        </is>
      </c>
      <c r="G9" s="22" t="inlineStr">
        <is>
          <t>doc_04.txt | doc_06.txt | doc_01.txt</t>
        </is>
      </c>
      <c r="H9" s="23" t="n"/>
      <c r="I9" s="23" t="n"/>
      <c r="J9" s="23" t="n"/>
      <c r="K9" s="24" t="n">
        <v>0.02</v>
      </c>
      <c r="L9" s="22" t="n"/>
      <c r="M9" s="25" t="inlineStr">
        <is>
          <t>If your order shows no movement for more than 20 minutes past its original estimated delivery time, contact customer support directly rather than waiting.</t>
        </is>
      </c>
    </row>
    <row r="10" ht="23.85" customHeight="1" s="18">
      <c r="A10" s="21" t="inlineStr">
        <is>
          <t>Q09</t>
        </is>
      </c>
      <c r="B10" s="21" t="inlineStr">
        <is>
          <t>Multi-section</t>
        </is>
      </c>
      <c r="C10" s="21" t="inlineStr">
        <is>
          <t>I'm a Zepto Pass member and my order is ₹100. Will I pay a delivery fee?</t>
        </is>
      </c>
      <c r="D10" s="21" t="inlineStr">
        <is>
          <t>No. Pass gives free standard delivery on all orders, overriding the ₹25 fee for orders under ₹149</t>
        </is>
      </c>
      <c r="E10" s="21" t="inlineStr">
        <is>
          <t>doc_01 + doc_03</t>
        </is>
      </c>
      <c r="F10" s="21" t="inlineStr">
        <is>
          <t>Answer using both</t>
        </is>
      </c>
      <c r="G10" s="22" t="inlineStr">
        <is>
          <t>doc_01.txt | doc_03.txt | doc_05.txt</t>
        </is>
      </c>
      <c r="H10" s="23" t="n"/>
      <c r="I10" s="23" t="n"/>
      <c r="J10" s="23" t="n"/>
      <c r="K10" s="24" t="n">
        <v>0.02</v>
      </c>
      <c r="L10" s="22" t="n"/>
      <c r="M10" s="25" t="inlineStr">
        <is>
          <t>Zepto Pass members receive free standard delivery on all orders, including orders below INR 149.</t>
        </is>
      </c>
    </row>
    <row r="11" ht="23.85" customHeight="1" s="18">
      <c r="A11" s="21" t="inlineStr">
        <is>
          <t>Q10</t>
        </is>
      </c>
      <c r="B11" s="21" t="inlineStr">
        <is>
          <t>Multi-section</t>
        </is>
      </c>
      <c r="C11" s="21" t="inlineStr">
        <is>
          <t>My order arrived with spoiled milk. How soon must I report it, and do I have to return it?</t>
        </is>
      </c>
      <c r="D11" s="21" t="inlineStr">
        <is>
          <t>Report within 24 hours via 'Report an Issue'; no return of the original item is required</t>
        </is>
      </c>
      <c r="E11" s="21" t="inlineStr">
        <is>
          <t>doc_06 + doc_02</t>
        </is>
      </c>
      <c r="F11" s="21" t="inlineStr">
        <is>
          <t>Answer using both</t>
        </is>
      </c>
      <c r="G11" s="22" t="inlineStr">
        <is>
          <t>doc_06.txt | doc_02.txt | doc_04.txt</t>
        </is>
      </c>
      <c r="H11" s="23" t="n"/>
      <c r="I11" s="23" t="n"/>
      <c r="J11" s="23" t="n"/>
      <c r="K11" s="24" t="n">
        <v>0.04</v>
      </c>
      <c r="L11" s="22" t="n"/>
      <c r="M11" s="25" t="inlineStr">
        <is>
          <t>Report damaged, spoiled, or missing items within 24 hours of delivery using the 'Report an Issue' button on the order page. Returning the original item is not required, unless the order value exceeds INR 1000, when a photo must be submitted through the report form.</t>
        </is>
      </c>
    </row>
    <row r="12" ht="35.05" customHeight="1" s="18">
      <c r="A12" s="21" t="inlineStr">
        <is>
          <t>Q11</t>
        </is>
      </c>
      <c r="B12" s="21" t="inlineStr">
        <is>
          <t>Multi-section</t>
        </is>
      </c>
      <c r="C12" s="21" t="inlineStr">
        <is>
          <t>A packed order was auto-cancelled because no rider was available. Do I pay a fee, and how do I get my money back?</t>
        </is>
      </c>
      <c r="D12" s="21" t="inlineStr">
        <is>
          <t>No cancellation fee, full refund. Refund goes to original payment method in 3 to 5 business days, or instantly to Zepto wallet</t>
        </is>
      </c>
      <c r="E12" s="21" t="inlineStr">
        <is>
          <t>doc_05 + doc_02</t>
        </is>
      </c>
      <c r="F12" s="21" t="inlineStr">
        <is>
          <t>Answer using both</t>
        </is>
      </c>
      <c r="G12" s="22" t="inlineStr">
        <is>
          <t>doc_05.txt | doc_04.txt | doc_02.txt</t>
        </is>
      </c>
      <c r="H12" s="23" t="n"/>
      <c r="I12" s="23" t="n"/>
      <c r="J12" s="23" t="n"/>
      <c r="K12" s="24" t="n">
        <v>0.03</v>
      </c>
      <c r="L12" s="22" t="n"/>
      <c r="M12" s="25" t="inlineStr">
        <is>
          <t>If an order is automatically cancelled because of a Zepto-side issue, such as rider unavailability, it is fully refunded without a cancellation fee. Approved refunds reach the original payment method within 3–5 business days, or instantly to the Zepto wallet if wallet credit is selected.</t>
        </is>
      </c>
    </row>
    <row r="13" ht="23.85" customHeight="1" s="18">
      <c r="A13" s="21" t="inlineStr">
        <is>
          <t>Q12</t>
        </is>
      </c>
      <c r="B13" s="21" t="inlineStr">
        <is>
          <t>Multi-section</t>
        </is>
      </c>
      <c r="C13" s="21" t="inlineStr">
        <is>
          <t>It's 2 AM and my order is late. How can I reach support?</t>
        </is>
      </c>
      <c r="D13" s="21" t="inlineStr">
        <is>
          <t>In-app chat, available 24/7 (average response under 2 minutes). Phone is not available</t>
        </is>
      </c>
      <c r="E13" s="21" t="inlineStr">
        <is>
          <t>doc_04 + doc_08</t>
        </is>
      </c>
      <c r="F13" s="21" t="inlineStr">
        <is>
          <t>Answer using both</t>
        </is>
      </c>
      <c r="G13" s="22" t="inlineStr">
        <is>
          <t>doc_08.txt | doc_04.txt | doc_06.txt</t>
        </is>
      </c>
      <c r="H13" s="23" t="n"/>
      <c r="I13" s="23" t="n"/>
      <c r="J13" s="23" t="n"/>
      <c r="K13" s="24" t="n">
        <v>0.02</v>
      </c>
      <c r="L13" s="22" t="n"/>
      <c r="M13" s="25" t="inlineStr">
        <is>
          <t>If your order shows no movement for more than 20 minutes past its original estimated delivery time, contact customer support directly rather than waiting.</t>
        </is>
      </c>
    </row>
    <row r="14" ht="23.85" customHeight="1" s="18">
      <c r="A14" s="21" t="inlineStr">
        <is>
          <t>Q13</t>
        </is>
      </c>
      <c r="B14" s="21" t="inlineStr">
        <is>
          <t>Ambiguous</t>
        </is>
      </c>
      <c r="C14" s="21" t="inlineStr">
        <is>
          <t>Can I get a refund?</t>
        </is>
      </c>
      <c r="D14" s="21" t="inlineStr">
        <is>
          <t>Ask what item or issue, or explain it depends on the reason (damaged, cancelled, returned). No single flat answer</t>
        </is>
      </c>
      <c r="E14" s="21" t="inlineStr">
        <is>
          <t>doc_02 / doc_05 / doc_06</t>
        </is>
      </c>
      <c r="F14" s="21" t="inlineStr">
        <is>
          <t>Clarify</t>
        </is>
      </c>
      <c r="G14" s="22" t="inlineStr">
        <is>
          <t>doc_02.txt | doc_06.txt | doc_05.txt</t>
        </is>
      </c>
      <c r="H14" s="23" t="n"/>
      <c r="I14" s="23" t="n"/>
      <c r="J14" s="23" t="n"/>
      <c r="K14" s="24" t="n">
        <v>0.04</v>
      </c>
      <c r="L14" s="22" t="n"/>
      <c r="M14" s="25" t="inlineStr">
        <is>
          <t>Refund eligibility depends on the situation, such as a damaged, spoiled, or incorrect item, or a cancelled order. What happened with your order?</t>
        </is>
      </c>
    </row>
    <row r="15" ht="23.85" customHeight="1" s="18">
      <c r="A15" s="21" t="inlineStr">
        <is>
          <t>Q14</t>
        </is>
      </c>
      <c r="B15" s="21" t="inlineStr">
        <is>
          <t>Ambiguous</t>
        </is>
      </c>
      <c r="C15" s="21" t="inlineStr">
        <is>
          <t>How much is the fee?</t>
        </is>
      </c>
      <c r="D15" s="21" t="inlineStr">
        <is>
          <t>Ask which fee (delivery, priority, membership), or list the possibilities</t>
        </is>
      </c>
      <c r="E15" s="21" t="inlineStr">
        <is>
          <t>doc_01 / doc_03</t>
        </is>
      </c>
      <c r="F15" s="21" t="inlineStr">
        <is>
          <t>Clarify</t>
        </is>
      </c>
      <c r="G15" s="22" t="inlineStr">
        <is>
          <t>doc_01.txt | doc_03.txt | doc_07.txt</t>
        </is>
      </c>
      <c r="H15" s="23" t="n"/>
      <c r="I15" s="23" t="n"/>
      <c r="J15" s="23" t="n"/>
      <c r="K15" s="24" t="n">
        <v>0.03</v>
      </c>
      <c r="L15" s="22" t="n"/>
      <c r="M15" s="25" t="inlineStr">
        <is>
          <t>Which fee do you mean: standard delivery, priority delivery, or membership?</t>
        </is>
      </c>
    </row>
    <row r="16" ht="23.85" customHeight="1" s="18">
      <c r="A16" s="21" t="inlineStr">
        <is>
          <t>Q15</t>
        </is>
      </c>
      <c r="B16" s="21" t="inlineStr">
        <is>
          <t>Ambiguous</t>
        </is>
      </c>
      <c r="C16" s="21" t="inlineStr">
        <is>
          <t>Can I return it?</t>
        </is>
      </c>
      <c r="D16" s="21" t="inlineStr">
        <is>
          <t>Ask what the item is; rules differ for perishables, packaged items and opened personal care</t>
        </is>
      </c>
      <c r="E16" s="21" t="inlineStr">
        <is>
          <t>doc_02</t>
        </is>
      </c>
      <c r="F16" s="21" t="inlineStr">
        <is>
          <t>Clarify</t>
        </is>
      </c>
      <c r="G16" s="22" t="inlineStr">
        <is>
          <t>doc_02.txt | doc_06.txt | doc_05.txt</t>
        </is>
      </c>
      <c r="H16" s="23" t="n"/>
      <c r="I16" s="23" t="n"/>
      <c r="J16" s="23" t="n"/>
      <c r="K16" s="24" t="n">
        <v>0.02</v>
      </c>
      <c r="L16" s="22" t="n"/>
      <c r="M16" s="25" t="inlineStr">
        <is>
          <t>Which item would you like to return? The policy differs for perishable items, packaged items, and opened personal-care items.</t>
        </is>
      </c>
    </row>
    <row r="17" ht="23.85" customHeight="1" s="18">
      <c r="A17" s="21" t="inlineStr">
        <is>
          <t>Q16</t>
        </is>
      </c>
      <c r="B17" s="21" t="inlineStr">
        <is>
          <t>Not covered</t>
        </is>
      </c>
      <c r="C17" s="21" t="inlineStr">
        <is>
          <t>Can I change my delivery address after placing an order?</t>
        </is>
      </c>
      <c r="D17" s="21" t="inlineStr">
        <is>
          <t>Not in the documents; should say it doesn't have this information</t>
        </is>
      </c>
      <c r="E17" s="21" t="inlineStr">
        <is>
          <t>None</t>
        </is>
      </c>
      <c r="F17" s="21" t="inlineStr">
        <is>
          <t>Decline</t>
        </is>
      </c>
      <c r="G17" s="22" t="inlineStr">
        <is>
          <t>doc_01.txt | doc_05.txt | doc_06.txt</t>
        </is>
      </c>
      <c r="H17" s="23" t="n"/>
      <c r="I17" s="23" t="n"/>
      <c r="J17" s="23" t="n"/>
      <c r="K17" s="24" t="n">
        <v>0.02</v>
      </c>
      <c r="L17" s="22" t="n"/>
      <c r="M17" s="25" t="inlineStr">
        <is>
          <t>I couldn't find this information in the available Zepto policies, so I can't confirm it.</t>
        </is>
      </c>
    </row>
    <row r="18" ht="15" customHeight="1" s="18">
      <c r="A18" s="21" t="inlineStr">
        <is>
          <t>Q17</t>
        </is>
      </c>
      <c r="B18" s="21" t="inlineStr">
        <is>
          <t>Not covered</t>
        </is>
      </c>
      <c r="C18" s="21" t="inlineStr">
        <is>
          <t>Does Zepto accept cash on delivery?</t>
        </is>
      </c>
      <c r="D18" s="21" t="inlineStr">
        <is>
          <t>Not in the documents; should decline</t>
        </is>
      </c>
      <c r="E18" s="21" t="inlineStr">
        <is>
          <t>None</t>
        </is>
      </c>
      <c r="F18" s="21" t="inlineStr">
        <is>
          <t>Decline</t>
        </is>
      </c>
      <c r="G18" s="22" t="inlineStr">
        <is>
          <t>doc_01.txt | doc_02.txt | doc_07.txt</t>
        </is>
      </c>
      <c r="H18" s="23" t="n"/>
      <c r="I18" s="23" t="n"/>
      <c r="J18" s="23" t="n"/>
      <c r="K18" s="24" t="n">
        <v>0.04</v>
      </c>
      <c r="L18" s="22" t="n"/>
      <c r="M18" s="25" t="inlineStr">
        <is>
          <t>I couldn't find this information in the available Zepto policies, so I can't confirm it.</t>
        </is>
      </c>
    </row>
    <row r="19" ht="15" customHeight="1" s="18">
      <c r="A19" s="21" t="inlineStr">
        <is>
          <t>Q18</t>
        </is>
      </c>
      <c r="B19" s="21" t="inlineStr">
        <is>
          <t>Not covered</t>
        </is>
      </c>
      <c r="C19" s="21" t="inlineStr">
        <is>
          <t>Can I schedule a delivery for tomorrow morning?</t>
        </is>
      </c>
      <c r="D19" s="21" t="inlineStr">
        <is>
          <t>Not in the documents; should decline</t>
        </is>
      </c>
      <c r="E19" s="21" t="inlineStr">
        <is>
          <t>None</t>
        </is>
      </c>
      <c r="F19" s="21" t="inlineStr">
        <is>
          <t>Decline</t>
        </is>
      </c>
      <c r="G19" s="22" t="inlineStr">
        <is>
          <t>doc_01.txt | doc_05.txt | doc_04.txt</t>
        </is>
      </c>
      <c r="H19" s="23" t="n"/>
      <c r="I19" s="23" t="n"/>
      <c r="J19" s="23" t="n"/>
      <c r="K19" s="24" t="n">
        <v>0.02</v>
      </c>
      <c r="L19" s="22" t="n"/>
      <c r="M19" s="25" t="inlineStr">
        <is>
          <t>I couldn't find this information in the available Zepto policies, so I can't confirm it.</t>
        </is>
      </c>
    </row>
    <row r="20" ht="15" customHeight="1" s="18">
      <c r="A20" s="21" t="inlineStr">
        <is>
          <t>Q19</t>
        </is>
      </c>
      <c r="B20" s="21" t="inlineStr">
        <is>
          <t>Not covered</t>
        </is>
      </c>
      <c r="C20" s="21" t="inlineStr">
        <is>
          <t>How do I tip my delivery rider?</t>
        </is>
      </c>
      <c r="D20" s="21" t="inlineStr">
        <is>
          <t>Not in the documents; should decline</t>
        </is>
      </c>
      <c r="E20" s="21" t="inlineStr">
        <is>
          <t>None</t>
        </is>
      </c>
      <c r="F20" s="21" t="inlineStr">
        <is>
          <t>Decline</t>
        </is>
      </c>
      <c r="G20" s="22" t="inlineStr">
        <is>
          <t>doc_04.txt | doc_01.txt | doc_05.txt</t>
        </is>
      </c>
      <c r="H20" s="23" t="n"/>
      <c r="I20" s="23" t="n"/>
      <c r="J20" s="23" t="n"/>
      <c r="K20" s="24" t="n">
        <v>0.03</v>
      </c>
      <c r="L20" s="22" t="n"/>
      <c r="M20" s="25" t="inlineStr">
        <is>
          <t>I couldn't find this information in the available Zepto policies, so I can't confirm it.</t>
        </is>
      </c>
    </row>
    <row r="21" ht="23.85" customHeight="1" s="18">
      <c r="A21" s="21" t="inlineStr">
        <is>
          <t>Q20</t>
        </is>
      </c>
      <c r="B21" s="21" t="inlineStr">
        <is>
          <t>Not covered</t>
        </is>
      </c>
      <c r="C21" s="21" t="inlineStr">
        <is>
          <t>Does Zepto have a loyalty points or cashback program?</t>
        </is>
      </c>
      <c r="D21" s="21" t="inlineStr">
        <is>
          <t>Not in the documents; should decline</t>
        </is>
      </c>
      <c r="E21" s="21" t="inlineStr">
        <is>
          <t>None</t>
        </is>
      </c>
      <c r="F21" s="21" t="inlineStr">
        <is>
          <t>Decline</t>
        </is>
      </c>
      <c r="G21" s="22" t="inlineStr">
        <is>
          <t>doc_03.txt | doc_08.txt | doc_07.txt</t>
        </is>
      </c>
      <c r="H21" s="23" t="n"/>
      <c r="I21" s="23" t="n"/>
      <c r="J21" s="23" t="n"/>
      <c r="K21" s="24" t="n">
        <v>0.02</v>
      </c>
      <c r="L21" s="22" t="n"/>
      <c r="M21" s="25" t="inlineStr">
        <is>
          <t>I couldn't find this information in the available Zepto policies, so I can't confirm it.</t>
        </is>
      </c>
    </row>
  </sheetData>
  <autoFilter ref="A1:L21"/>
  <dataValidations count="1">
    <dataValidation sqref="H2:J21" showDropDown="0" showInputMessage="0" showErrorMessage="0" allowBlank="1" type="list" errorStyle="stop" operator="between">
      <formula1>"Y,N"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7" min="1" max="1"/>
    <col width="14" customWidth="1" style="17" min="2" max="2"/>
    <col width="12" customWidth="1" style="17" min="3" max="3"/>
    <col width="13" customWidth="1" style="17" min="4" max="4"/>
    <col width="70" customWidth="1" style="17" min="5" max="5"/>
  </cols>
  <sheetData>
    <row r="1" ht="17.35" customHeight="1" s="18">
      <c r="A1" s="26" t="inlineStr">
        <is>
          <t>RAG Support Assistant: Evaluation Metrics</t>
        </is>
      </c>
    </row>
    <row r="2" ht="15" customHeight="1" s="18">
      <c r="A2" s="27" t="inlineStr">
        <is>
          <t>Fill the yellow columns (G to L) on 'Test Set'. Metrics below update automatically.</t>
        </is>
      </c>
    </row>
    <row r="4" ht="15" customHeight="1" s="18">
      <c r="A4" s="28" t="inlineStr">
        <is>
          <t>Metric</t>
        </is>
      </c>
      <c r="B4" s="28" t="inlineStr">
        <is>
          <t>Result</t>
        </is>
      </c>
      <c r="C4" s="28" t="inlineStr">
        <is>
          <t>Numerator</t>
        </is>
      </c>
      <c r="D4" s="28" t="inlineStr">
        <is>
          <t>Denominator</t>
        </is>
      </c>
      <c r="E4" s="28" t="inlineStr">
        <is>
          <t>How it is calculated</t>
        </is>
      </c>
    </row>
    <row r="5" ht="15" customHeight="1" s="18">
      <c r="A5" s="29" t="inlineStr">
        <is>
          <t>Sample size (n)</t>
        </is>
      </c>
      <c r="B5" s="30">
        <f>C5</f>
        <v/>
      </c>
      <c r="C5" s="31" t="n"/>
      <c r="D5" s="31" t="n"/>
      <c r="E5" s="29" t="inlineStr">
        <is>
          <t>Number of test questions</t>
        </is>
      </c>
    </row>
    <row r="6" ht="15" customHeight="1" s="18">
      <c r="A6" s="29" t="inlineStr">
        <is>
          <t>Retrieval hit rate</t>
        </is>
      </c>
      <c r="B6" s="32">
        <f>IF(D6=0,"n/a",IF(COUNTA('Test Set'!$H$2:$H$21,'Test Set'!$I$2:$I$21,'Test Set'!$J$2:$J$21)=0,"Not run yet",C6/D6))</f>
        <v/>
      </c>
      <c r="C6" s="31">
        <f>COUNTIFS('Test Set'!$F$2:$F$21,"&lt;&gt;Decline",'Test Set'!$H$2:$H$21,"Y")</f>
        <v/>
      </c>
      <c r="D6" s="31">
        <f>COUNTIFS('Test Set'!$F$2:$F$21,"&lt;&gt;Decline")</f>
        <v/>
      </c>
      <c r="E6" s="29" t="inlineStr">
        <is>
          <t>Hits on the answerable questions (Q01 to Q15); declines excluded</t>
        </is>
      </c>
    </row>
    <row r="7" ht="15" customHeight="1" s="18">
      <c r="A7" s="29" t="inlineStr">
        <is>
          <t>Answer accuracy (answerable)</t>
        </is>
      </c>
      <c r="B7" s="32">
        <f>IF(D7=0,"n/a",IF(COUNTA('Test Set'!$H$2:$H$21,'Test Set'!$I$2:$I$21,'Test Set'!$J$2:$J$21)=0,"Not run yet",C7/D7))</f>
        <v/>
      </c>
      <c r="C7" s="31">
        <f>COUNTIFS('Test Set'!$F$2:$F$21,"&lt;&gt;Decline",'Test Set'!$I$2:$I$21,"Y")</f>
        <v/>
      </c>
      <c r="D7" s="31">
        <f>COUNTIFS('Test Set'!$F$2:$F$21,"&lt;&gt;Decline")</f>
        <v/>
      </c>
      <c r="E7" s="29" t="inlineStr">
        <is>
          <t>Accurate answers on answerable questions (Q01 to Q15)</t>
        </is>
      </c>
    </row>
    <row r="8" ht="15" customHeight="1" s="18">
      <c r="A8" s="29" t="inlineStr">
        <is>
          <t>Correct decline rate</t>
        </is>
      </c>
      <c r="B8" s="32">
        <f>IF(D8=0,"n/a",IF(COUNTA('Test Set'!$H$2:$H$21,'Test Set'!$I$2:$I$21,'Test Set'!$J$2:$J$21)=0,"Not run yet",C8/D8))</f>
        <v/>
      </c>
      <c r="C8" s="31">
        <f>COUNTIFS('Test Set'!$F$2:$F$21,"Decline",'Test Set'!$I$2:$I$21,"Y")</f>
        <v/>
      </c>
      <c r="D8" s="31">
        <f>COUNTIFS('Test Set'!$F$2:$F$21,"Decline")</f>
        <v/>
      </c>
      <c r="E8" s="29" t="inlineStr">
        <is>
          <t>Not-covered questions (Q16 to Q20) where the assistant correctly declined</t>
        </is>
      </c>
    </row>
    <row r="9" ht="15" customHeight="1" s="18">
      <c r="A9" s="29" t="inlineStr">
        <is>
          <t>Groundedness</t>
        </is>
      </c>
      <c r="B9" s="32">
        <f>IF(D9=0,"n/a",IF(COUNTA('Test Set'!$H$2:$H$21,'Test Set'!$I$2:$I$21,'Test Set'!$J$2:$J$21)=0,"Not run yet",C9/D9))</f>
        <v/>
      </c>
      <c r="C9" s="31">
        <f>COUNTIF('Test Set'!$J$2:$J$21,"Y")</f>
        <v/>
      </c>
      <c r="D9" s="31">
        <f>COUNTA('Test Set'!$A$2:$A$21)</f>
        <v/>
      </c>
      <c r="E9" s="29" t="inlineStr">
        <is>
          <t>Answers fully supported by retrieved text, all questions</t>
        </is>
      </c>
    </row>
    <row r="10" ht="15" customHeight="1" s="18">
      <c r="A10" s="29" t="inlineStr">
        <is>
          <t>Overall accuracy (all 20)</t>
        </is>
      </c>
      <c r="B10" s="32">
        <f>IF(D10=0,"n/a",IF(COUNTA('Test Set'!$H$2:$H$21,'Test Set'!$I$2:$I$21,'Test Set'!$J$2:$J$21)=0,"Not run yet",C10/D10))</f>
        <v/>
      </c>
      <c r="C10" s="31">
        <f>COUNTIF('Test Set'!$I$2:$I$21,"Y")</f>
        <v/>
      </c>
      <c r="D10" s="31">
        <f>COUNTA('Test Set'!$A$2:$A$21)</f>
        <v/>
      </c>
      <c r="E10" s="29" t="inlineStr">
        <is>
          <t>Accurate or correct behavior across the full set</t>
        </is>
      </c>
    </row>
    <row r="11" ht="15" customHeight="1" s="18">
      <c r="A11" s="29" t="inlineStr">
        <is>
          <t>Average latency (s)</t>
        </is>
      </c>
      <c r="B11" s="33">
        <f>IF(D11=0,"Not run yet",C11/D11)</f>
        <v/>
      </c>
      <c r="C11" s="34">
        <f>SUM('Test Set'!$K$2:$K$21)</f>
        <v/>
      </c>
      <c r="D11" s="31">
        <f>COUNT('Test Set'!$K$2:$K$21)</f>
        <v/>
      </c>
      <c r="E11" s="29" t="inlineStr">
        <is>
          <t>Mean of recorded latencies</t>
        </is>
      </c>
    </row>
    <row r="13" ht="15" customHeight="1" s="18">
      <c r="A13" s="35" t="inlineStr">
        <is>
          <t>Notes</t>
        </is>
      </c>
    </row>
    <row r="14" ht="15" customHeight="1" s="18">
      <c r="A14" s="36" t="inlineStr">
        <is>
          <t>• Always report the sample size (n=20) next to every figure.</t>
        </is>
      </c>
    </row>
    <row r="15" ht="15" customHeight="1" s="18">
      <c r="A15" s="36" t="inlineStr">
        <is>
          <t>• Hit rate is measured on the 15 answerable questions; the 5 not-covered questions are reported separately as correct decline rate.</t>
        </is>
      </c>
    </row>
    <row r="16" ht="15" customHeight="1" s="18">
      <c r="A16" s="36" t="inlineStr">
        <is>
          <t>• For Q13 to Q15 (ambiguous), mark Accurate = Y if the assistant asks for clarification or handles the ambiguity sensibly.</t>
        </is>
      </c>
    </row>
    <row r="17" ht="15" customHeight="1" s="18">
      <c r="A17" s="36" t="inlineStr">
        <is>
          <t>• Policy text source: Masai assessment brief (doc_01 to doc_08). Questions written from that text.</t>
        </is>
      </c>
    </row>
    <row r="18" ht="15" customHeight="1" s="18">
      <c r="A18" s="36" t="inlineStr">
        <is>
          <t>• Evaluation metrics show technical performance, not business impact; don't claim reduced support time or cost.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2026-10-25T17:33:29Z</dcterms:created>
  <dcterms:modified xsi:type="dcterms:W3CDTF">2026-10-26T18:14:22Z</dcterms:modified>
  <cp:revision>0</cp:revision>
</cp:coreProperties>
</file>